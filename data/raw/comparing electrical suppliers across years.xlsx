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$-Spring 2026\CIS 480 Programming Capstone\Capstone files\Raw data files\"/>
    </mc:Choice>
  </mc:AlternateContent>
  <xr:revisionPtr revIDLastSave="0" documentId="8_{03B1C977-082B-4598-8D8F-2695A05DDC92}" xr6:coauthVersionLast="47" xr6:coauthVersionMax="47" xr10:uidLastSave="{00000000-0000-0000-0000-000000000000}"/>
  <bookViews>
    <workbookView xWindow="-24480" yWindow="3660" windowWidth="23400" windowHeight="11295" activeTab="1" xr2:uid="{B9DF8D67-026F-46E5-9DB3-FC0C083A745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28" i="2"/>
  <c r="H46" i="2"/>
  <c r="H47" i="2"/>
  <c r="H29" i="2"/>
  <c r="H48" i="2"/>
  <c r="H49" i="2"/>
  <c r="H50" i="2"/>
  <c r="H30" i="2"/>
  <c r="H51" i="2"/>
  <c r="H52" i="2"/>
  <c r="H53" i="2"/>
  <c r="H54" i="2"/>
  <c r="H55" i="2"/>
  <c r="H31" i="2"/>
  <c r="H7" i="2"/>
  <c r="H32" i="2"/>
  <c r="H56" i="2"/>
  <c r="H57" i="2"/>
  <c r="H58" i="2"/>
  <c r="H33" i="2"/>
  <c r="H59" i="2"/>
  <c r="H34" i="2"/>
  <c r="H60" i="2"/>
  <c r="H35" i="2"/>
  <c r="H61" i="2"/>
  <c r="H8" i="2"/>
  <c r="H36" i="2"/>
  <c r="H62" i="2"/>
  <c r="H9" i="2"/>
  <c r="H37" i="2"/>
  <c r="H63" i="2"/>
  <c r="H10" i="2"/>
  <c r="H11" i="2"/>
  <c r="H64" i="2"/>
  <c r="H12" i="2"/>
  <c r="H65" i="2"/>
  <c r="H38" i="2"/>
  <c r="H39" i="2"/>
  <c r="H66" i="2"/>
  <c r="H40" i="2"/>
  <c r="H67" i="2"/>
  <c r="H68" i="2"/>
  <c r="H41" i="2"/>
  <c r="H69" i="2"/>
  <c r="H13" i="2"/>
  <c r="H70" i="2"/>
  <c r="H14" i="2"/>
  <c r="H15" i="2"/>
  <c r="H71" i="2"/>
  <c r="H16" i="2"/>
  <c r="H17" i="2"/>
  <c r="H42" i="2"/>
  <c r="H72" i="2"/>
  <c r="H18" i="2"/>
  <c r="H19" i="2"/>
  <c r="H20" i="2"/>
  <c r="H21" i="2"/>
  <c r="H22" i="2"/>
  <c r="H23" i="2"/>
  <c r="H24" i="2"/>
  <c r="H25" i="2"/>
  <c r="H73" i="2"/>
  <c r="H74" i="2"/>
  <c r="H43" i="2"/>
  <c r="H75" i="2"/>
  <c r="H44" i="2"/>
  <c r="H76" i="2"/>
  <c r="H77" i="2"/>
  <c r="H45" i="2"/>
  <c r="H78" i="2"/>
  <c r="H26" i="2"/>
  <c r="H27" i="2"/>
  <c r="H79" i="2"/>
  <c r="H80" i="2"/>
  <c r="G2" i="2" a="1"/>
  <c r="G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<sst xmlns="http://schemas.openxmlformats.org/spreadsheetml/2006/main" count="415" uniqueCount="215">
  <si>
    <t>‘Adjustment 2010',</t>
  </si>
  <si>
    <t>'Ajo Improvement Co',</t>
  </si>
  <si>
    <t>'Ajo Improvement Company',</t>
  </si>
  <si>
    <t>'Ak-Chin Electric Utility Authority',</t>
  </si>
  <si>
    <t>'Arizona Public Service',</t>
  </si>
  <si>
    <t>'Arizona Public Service Co',</t>
  </si>
  <si>
    <t>'Buckeye Water C&amp;D District',</t>
  </si>
  <si>
    <t>'City of Fredonia', '</t>
  </si>
  <si>
    <t>‘City of Mesa',</t>
  </si>
  <si>
    <t>'City of Mesa ',</t>
  </si>
  <si>
    <t>'City of Safford',</t>
  </si>
  <si>
    <t xml:space="preserve"> 'City of Williams - AZ',</t>
  </si>
  <si>
    <t>'Colorado River Indian Irr Proj',</t>
  </si>
  <si>
    <t>'Columbus Electric Co-op',</t>
  </si>
  <si>
    <t>'Columbus Electric Coop, Inc',</t>
  </si>
  <si>
    <t>'Dixie Escalante R E A, Inc',</t>
  </si>
  <si>
    <t>'Dixie Escalante Rural Electric Association',</t>
  </si>
  <si>
    <t>'Duncan Valley Elec Coop, Inc',</t>
  </si>
  <si>
    <t>'Electrical Dist No2 Pinal Cnty',</t>
  </si>
  <si>
    <t>'Electrical Dist No3 Pinal Cnty',</t>
  </si>
  <si>
    <t>'Electrical Dist No4 Pinal Cnty',</t>
  </si>
  <si>
    <t>'Electrical Dist No5 Pinal Cnty',</t>
  </si>
  <si>
    <t>'Garkane Energy Coop, Inc',</t>
  </si>
  <si>
    <t>'Garkane Power Association',</t>
  </si>
  <si>
    <t>'Graham County Electric Coop Inc',</t>
  </si>
  <si>
    <t>'Graham County Electric Cooperative',</t>
  </si>
  <si>
    <t>'Hohokam Irr &amp; Drain Dist',</t>
  </si>
  <si>
    <t>'Mohave Electric Cooperative',</t>
  </si>
  <si>
    <t>'Mohave Electric Cooperative, Inc',</t>
  </si>
  <si>
    <t>'Morenci Water &amp; Electric Company',</t>
  </si>
  <si>
    <t>'Morenci Water and Electric Co',</t>
  </si>
  <si>
    <t>‘Navajo Tribal Utility Authority',</t>
  </si>
  <si>
    <t>'Navopache Electric Co-op',</t>
  </si>
  <si>
    <t>'Navopache Electric Coop, Inc',</t>
  </si>
  <si>
    <t>'Page Electric Utility',</t>
  </si>
  <si>
    <t>'Salt River Project',</t>
  </si>
  <si>
    <t>'Sulphur Springs Valley E C Inc',</t>
  </si>
  <si>
    <t>'Sulphur Springs Valley Electric Co-op',</t>
  </si>
  <si>
    <t>"Tohono O'Odham Utility Auth",</t>
  </si>
  <si>
    <t>'Town of Thatcher',</t>
  </si>
  <si>
    <t>'Trico Electric Cooperative',</t>
  </si>
  <si>
    <t>'Trico Electric Cooperative Inc',</t>
  </si>
  <si>
    <t>'Tucson Electric Power',</t>
  </si>
  <si>
    <t>'Tucson Electric Power Co',</t>
  </si>
  <si>
    <t>'UNS Electric Inc.',</t>
  </si>
  <si>
    <t>'UNS Electric, Inc',</t>
  </si>
  <si>
    <t>'USBIA-San Carlos Project',</t>
  </si>
  <si>
    <t>'UNS Electric Inc.'</t>
  </si>
  <si>
    <t>Pinal</t>
  </si>
  <si>
    <t>maricopa</t>
  </si>
  <si>
    <t>Coconino</t>
  </si>
  <si>
    <t>Graham</t>
  </si>
  <si>
    <t>mohave</t>
  </si>
  <si>
    <t>la paz</t>
  </si>
  <si>
    <t>greenlee</t>
  </si>
  <si>
    <t>graham</t>
  </si>
  <si>
    <t>navajo</t>
  </si>
  <si>
    <t>apache</t>
  </si>
  <si>
    <t>Ocotillo Water Conserv. Dist.',</t>
  </si>
  <si>
    <t>pima</t>
  </si>
  <si>
    <t>pinal</t>
  </si>
  <si>
    <t>Town of Wickenburg',</t>
  </si>
  <si>
    <t>yavapai</t>
  </si>
  <si>
    <t>USBIA-San Carlos Project',</t>
  </si>
  <si>
    <t>gila</t>
  </si>
  <si>
    <t>Wellton-Mohawk Irr &amp; Drain Dist</t>
  </si>
  <si>
    <t>Yuma</t>
  </si>
  <si>
    <t>'Navajo Tribal Utility Authority',</t>
  </si>
  <si>
    <t>'arizona public service',</t>
  </si>
  <si>
    <t>'navopache electric co-op',</t>
  </si>
  <si>
    <t>'navajo tribal utility authority',</t>
  </si>
  <si>
    <t>'columbus electric co-op',</t>
  </si>
  <si>
    <t>'sulphur springs valley electric co-op',</t>
  </si>
  <si>
    <t>'garkane power association',</t>
  </si>
  <si>
    <t>'mohave electric cooperative',</t>
  </si>
  <si>
    <t>'city of fredonia ',</t>
  </si>
  <si>
    <t>'city of williams - az',</t>
  </si>
  <si>
    <t>'page electric utility',</t>
  </si>
  <si>
    <t>'salt river project',</t>
  </si>
  <si>
    <t>'usbia-san carlos project',</t>
  </si>
  <si>
    <t>'graham county electric cooperative',</t>
  </si>
  <si>
    <t>'city of safford',</t>
  </si>
  <si>
    <t>'duncan valley elec coop inc',</t>
  </si>
  <si>
    <t>'town of thatcher',</t>
  </si>
  <si>
    <t>'morenci water &amp; electric company',</t>
  </si>
  <si>
    <t>'colorado river indian irr proj',</t>
  </si>
  <si>
    <t>'city of mesa ',</t>
  </si>
  <si>
    <t>'buckeye water c&amp;d district',</t>
  </si>
  <si>
    <t>'ocotillo water conserv. dist.',</t>
  </si>
  <si>
    <t>"tohono o'odham utility auth",</t>
  </si>
  <si>
    <t>'town of wickenburg',</t>
  </si>
  <si>
    <t>'dixie escalante rural electric association',</t>
  </si>
  <si>
    <t>'uns electric inc.',</t>
  </si>
  <si>
    <t>'ajo improvement company',</t>
  </si>
  <si>
    <t>'trico electric cooperative',</t>
  </si>
  <si>
    <t>'tucson electric power',</t>
  </si>
  <si>
    <t>'ak-chin electric utility authority',</t>
  </si>
  <si>
    <t>'electrical dist no2 pinal cnty',</t>
  </si>
  <si>
    <t>'electrical dist no3 pinal cnty',</t>
  </si>
  <si>
    <t>'electrical dist no4 pinal cnty',</t>
  </si>
  <si>
    <t>'electrical dist no5 pinal cnty',</t>
  </si>
  <si>
    <t>'hohokam irr &amp; drain dist',</t>
  </si>
  <si>
    <t>'wellton-mohawk irr &amp; drain dist'</t>
  </si>
  <si>
    <t>'City of Mesa - (AZ)',</t>
  </si>
  <si>
    <t>'Morenci Water and Electric',</t>
  </si>
  <si>
    <t>'Page Utility Enterprises',</t>
  </si>
  <si>
    <t>'Electrical Dist No2 Pinal County',</t>
  </si>
  <si>
    <t>'Electrical Dist No4 Pinal County',</t>
  </si>
  <si>
    <t>'Mohave Electric Cooperative, I',</t>
  </si>
  <si>
    <t>'Wellton-Mohawk Irr &amp; Drain Dist',</t>
  </si>
  <si>
    <t>'Electrical Dist No3 Pinal County',</t>
  </si>
  <si>
    <t>'SolarCity Corporation',</t>
  </si>
  <si>
    <t>'Aha Macav Power Service',</t>
  </si>
  <si>
    <t>'Constellation Solar Holding, LLC',</t>
  </si>
  <si>
    <t>'SunEdison LLC',</t>
  </si>
  <si>
    <t>'Kilowatt Financial, LLC',</t>
  </si>
  <si>
    <t>'OneRoof Energy, Inc.', 'Sunnova',</t>
  </si>
  <si>
    <t>'SunPower Capital, LLC',</t>
  </si>
  <si>
    <t>'Vivint Solar, Inc.', 'Sunrun Inc.'</t>
  </si>
  <si>
    <t>'WAPA-- Western Area Power Administration',</t>
  </si>
  <si>
    <t>'Sunnova',</t>
  </si>
  <si>
    <t>'Vivint Solar, Inc.',</t>
  </si>
  <si>
    <t>'Sunrun Inc.',</t>
  </si>
  <si>
    <t>'SunPower Capital Services, LLC',</t>
  </si>
  <si>
    <t>'Spruce Finance',</t>
  </si>
  <si>
    <t>'Greenbacker Renewable Energy Corporation',</t>
  </si>
  <si>
    <t>'TerraForm US Energy Services, LLC',</t>
  </si>
  <si>
    <t>'Greenskies Renewable Energy, LLC',</t>
  </si>
  <si>
    <t>'Adjustment 2018'</t>
  </si>
  <si>
    <t>'Adjustment 2020'</t>
  </si>
  <si>
    <t>'Mohave Electric Cooperative, Inc.',</t>
  </si>
  <si>
    <t>'Tesla Inc.',</t>
  </si>
  <si>
    <t>'Ahana Renewables, LLC',</t>
  </si>
  <si>
    <t>'Gila River Indian Utility Authority (GRICUA)',</t>
  </si>
  <si>
    <t>'Palmetto Solar, LLC',</t>
  </si>
  <si>
    <t>'EverBright, LLC',</t>
  </si>
  <si>
    <t>'Adjustment 2024'</t>
  </si>
  <si>
    <t>ajo improvement company</t>
  </si>
  <si>
    <t>ak-chin electric utility authority</t>
  </si>
  <si>
    <t>arizona public service</t>
  </si>
  <si>
    <t>buckeye water c&amp;d district</t>
  </si>
  <si>
    <t xml:space="preserve">city of fredonia </t>
  </si>
  <si>
    <t xml:space="preserve">city of mesa </t>
  </si>
  <si>
    <t>city of safford</t>
  </si>
  <si>
    <t>city of williams - az</t>
  </si>
  <si>
    <t>colorado river indian irr proj</t>
  </si>
  <si>
    <t>columbus electric co-op</t>
  </si>
  <si>
    <t>dixie escalante rural electric association</t>
  </si>
  <si>
    <t>duncan valley elec coop inc</t>
  </si>
  <si>
    <t>duncan valley electric cooperative</t>
  </si>
  <si>
    <t>electrical dist no2 pinal cnty</t>
  </si>
  <si>
    <t>electrical dist no3 pinal cnty</t>
  </si>
  <si>
    <t>electrical dist no4 pinal cnty</t>
  </si>
  <si>
    <t>electrical dist no5 pinal cnty</t>
  </si>
  <si>
    <t>garkane power association</t>
  </si>
  <si>
    <t>graham county electric cooperative</t>
  </si>
  <si>
    <t>hohokam irr &amp; drain dist</t>
  </si>
  <si>
    <t>mohave electric cooperative</t>
  </si>
  <si>
    <t>morenci water &amp; electric company</t>
  </si>
  <si>
    <t>navajo tribal utility authority</t>
  </si>
  <si>
    <t>navopache electric co-op</t>
  </si>
  <si>
    <t>ocotillo water conserv. dist.</t>
  </si>
  <si>
    <t>page electric utility</t>
  </si>
  <si>
    <t>salt river project</t>
  </si>
  <si>
    <t>sulphur springs valley electric co-op</t>
  </si>
  <si>
    <t>tohono o'odham utility auth</t>
  </si>
  <si>
    <t>town of thatcher</t>
  </si>
  <si>
    <t>town of wickenburg</t>
  </si>
  <si>
    <t>trico electric cooperative</t>
  </si>
  <si>
    <t>tucson electric power</t>
  </si>
  <si>
    <t>uns electric inc.</t>
  </si>
  <si>
    <t>usbia-san carlos project</t>
  </si>
  <si>
    <t>wellton-mohawk irr &amp; drain dist</t>
  </si>
  <si>
    <t/>
  </si>
  <si>
    <t>aha macav power service</t>
  </si>
  <si>
    <t>ahana renewables llc</t>
  </si>
  <si>
    <t>ajo improvement co</t>
  </si>
  <si>
    <t>arizona public service co</t>
  </si>
  <si>
    <t>city of mesa - (az)</t>
  </si>
  <si>
    <t>columbus electric coop inc</t>
  </si>
  <si>
    <t>constellation solar holding llc</t>
  </si>
  <si>
    <t>dixie escalante r e a inc</t>
  </si>
  <si>
    <t>electrical dist no2 pinal county</t>
  </si>
  <si>
    <t>electrical dist no3 pinal county</t>
  </si>
  <si>
    <t>electrical dist no4 pinal county</t>
  </si>
  <si>
    <t>everbright llc</t>
  </si>
  <si>
    <t>garkane energy coop inc</t>
  </si>
  <si>
    <t>gila river indian utility authority (gricua)</t>
  </si>
  <si>
    <t>graham county electric coop inc</t>
  </si>
  <si>
    <t>greenbacker renewable energy corporation</t>
  </si>
  <si>
    <t>greenskies renewable energy llc</t>
  </si>
  <si>
    <t>kilowatt financial llc</t>
  </si>
  <si>
    <t>mohave electric cooperative i</t>
  </si>
  <si>
    <t>mohave electric cooperative inc.</t>
  </si>
  <si>
    <t>morenci water and electric</t>
  </si>
  <si>
    <t>navopache electric coop inc</t>
  </si>
  <si>
    <t>oneroof energy inc.</t>
  </si>
  <si>
    <t>page utility enterprises</t>
  </si>
  <si>
    <t>palmetto solar llc</t>
  </si>
  <si>
    <t>solarcity corporation</t>
  </si>
  <si>
    <t>spruce finance</t>
  </si>
  <si>
    <t>sulphur springs valley e c inc</t>
  </si>
  <si>
    <t>sunedison llc</t>
  </si>
  <si>
    <t>sunnova</t>
  </si>
  <si>
    <t>sunpower capital services llc</t>
  </si>
  <si>
    <t>sunpower capital llc</t>
  </si>
  <si>
    <t>sunrun inc.</t>
  </si>
  <si>
    <t>terraform us energy services llc</t>
  </si>
  <si>
    <t>tesla inc.</t>
  </si>
  <si>
    <t>tohono oodham utility auth</t>
  </si>
  <si>
    <t>trico electric cooperative inc</t>
  </si>
  <si>
    <t>tucson electric power co</t>
  </si>
  <si>
    <t>uns electric inc</t>
  </si>
  <si>
    <t>vivint solar inc.</t>
  </si>
  <si>
    <t>wapa-- western area power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</si>
</sst>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"/>
      <family val="2"/>
    </font>
    <font>
      <sz val="12"/>
      <color rgb="FFFF0000"/>
      <name val="Aptos"/>
      <family val="2"/>
    </font>
    <font>
      <sz val="11"/>
      <color rgb="FF00206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0" fillId="0" borderId="0" xfId="0" quotePrefix="1"/>
    <xf numFmtId="0" fontId="2" fillId="0" borderId="0" xfId="0" quotePrefix="1" applyFont="1"/>
    <xf numFmtId="0" fontId="0" fillId="2" borderId="0" xfId="0" applyFill="1"/>
    <xf numFmtId="0" fontId="1" fillId="2" borderId="0" xfId="0" applyFont="1" applyFill="1"/>
    <xf numFmtId="0" fontId="1" fillId="2" borderId="0" xfId="0" quotePrefix="1" applyFont="1" applyFill="1"/>
    <xf numFmtId="0" fontId="4" fillId="2" borderId="0" xfId="0" applyFont="1" applyFill="1"/>
    <xf numFmtId="0" fontId="4" fillId="2" borderId="0" xfId="0" quotePrefix="1" applyFont="1" applyFill="1"/>
  </cellXfs>
  <cellStyles count="1">
    <cellStyle name="Normal" xfId="0" builtinId="0"/>
  </cellStyles>
  <dxfs count="4">
    <dxf>
      <fill>
        <patternFill patternType="solid">
          <fgColor rgb="FFFFFF00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ill>
        <patternFill patternType="solid">
          <fgColor rgb="FFFFFF00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217A-75D5-4672-AF9D-90BA9A19E14F}">
  <dimension ref="A1:H33"/>
  <sheetViews>
    <sheetView zoomScaleNormal="100" workbookViewId="0">
      <selection activeCell="G8" sqref="G8"/>
    </sheetView>
  </sheetViews>
  <sheetFormatPr defaultRowHeight="15" x14ac:dyDescent="0.25"/>
  <cols>
    <col min="1" max="2" width="44.7109375" bestFit="1" customWidth="1"/>
    <col min="3" max="3" width="34.7109375" bestFit="1" customWidth="1"/>
  </cols>
  <sheetData>
    <row r="1" spans="1:6" ht="15.75" x14ac:dyDescent="0.25">
      <c r="A1" s="1" t="s">
        <v>0</v>
      </c>
    </row>
    <row r="2" spans="1:6" ht="15.75" x14ac:dyDescent="0.25">
      <c r="A2" s="1" t="s">
        <v>1</v>
      </c>
      <c r="B2" s="1" t="s">
        <v>2</v>
      </c>
      <c r="C2" s="3" t="s">
        <v>3</v>
      </c>
      <c r="D2" t="s">
        <v>48</v>
      </c>
    </row>
    <row r="3" spans="1:6" ht="15.75" x14ac:dyDescent="0.25">
      <c r="A3" s="1" t="s">
        <v>2</v>
      </c>
      <c r="B3" s="1"/>
      <c r="C3" s="3" t="s">
        <v>6</v>
      </c>
      <c r="D3" t="s">
        <v>49</v>
      </c>
    </row>
    <row r="4" spans="1:6" ht="15.75" x14ac:dyDescent="0.25">
      <c r="A4" s="1" t="s">
        <v>4</v>
      </c>
      <c r="B4" s="1" t="s">
        <v>4</v>
      </c>
      <c r="C4" s="3" t="s">
        <v>7</v>
      </c>
      <c r="D4" t="s">
        <v>50</v>
      </c>
    </row>
    <row r="5" spans="1:6" ht="15.75" x14ac:dyDescent="0.25">
      <c r="A5" s="1" t="s">
        <v>5</v>
      </c>
      <c r="B5" s="1"/>
      <c r="C5" s="3" t="s">
        <v>10</v>
      </c>
      <c r="D5" t="s">
        <v>51</v>
      </c>
    </row>
    <row r="6" spans="1:6" ht="15.75" x14ac:dyDescent="0.25">
      <c r="A6" s="1" t="s">
        <v>8</v>
      </c>
      <c r="B6" s="1" t="s">
        <v>9</v>
      </c>
      <c r="C6" s="3" t="s">
        <v>11</v>
      </c>
      <c r="D6" t="s">
        <v>50</v>
      </c>
    </row>
    <row r="7" spans="1:6" ht="15.75" x14ac:dyDescent="0.25">
      <c r="A7" s="1" t="s">
        <v>9</v>
      </c>
      <c r="B7" s="1"/>
      <c r="C7" s="3" t="s">
        <v>12</v>
      </c>
      <c r="D7" t="s">
        <v>52</v>
      </c>
      <c r="E7" t="s">
        <v>53</v>
      </c>
    </row>
    <row r="8" spans="1:6" ht="15.75" x14ac:dyDescent="0.25">
      <c r="A8" s="1" t="s">
        <v>13</v>
      </c>
      <c r="B8" s="1" t="s">
        <v>13</v>
      </c>
      <c r="C8" s="3" t="s">
        <v>17</v>
      </c>
      <c r="D8" t="s">
        <v>54</v>
      </c>
      <c r="E8" t="s">
        <v>55</v>
      </c>
    </row>
    <row r="9" spans="1:6" ht="15.75" x14ac:dyDescent="0.25">
      <c r="A9" s="1" t="s">
        <v>14</v>
      </c>
      <c r="B9" s="1"/>
      <c r="C9" s="3" t="s">
        <v>18</v>
      </c>
      <c r="D9" t="s">
        <v>48</v>
      </c>
    </row>
    <row r="10" spans="1:6" ht="15.75" x14ac:dyDescent="0.25">
      <c r="A10" s="1" t="s">
        <v>15</v>
      </c>
      <c r="B10" s="1" t="s">
        <v>16</v>
      </c>
      <c r="C10" s="3" t="s">
        <v>19</v>
      </c>
      <c r="D10" t="s">
        <v>48</v>
      </c>
    </row>
    <row r="11" spans="1:6" ht="15.75" x14ac:dyDescent="0.25">
      <c r="A11" s="1" t="s">
        <v>16</v>
      </c>
      <c r="B11" s="1"/>
      <c r="C11" s="3" t="s">
        <v>20</v>
      </c>
      <c r="D11" t="s">
        <v>48</v>
      </c>
    </row>
    <row r="12" spans="1:6" ht="15.75" x14ac:dyDescent="0.25">
      <c r="A12" s="1" t="s">
        <v>22</v>
      </c>
      <c r="B12" s="1" t="s">
        <v>23</v>
      </c>
      <c r="C12" s="3" t="s">
        <v>21</v>
      </c>
      <c r="D12" t="s">
        <v>48</v>
      </c>
    </row>
    <row r="13" spans="1:6" ht="15.75" x14ac:dyDescent="0.25">
      <c r="A13" s="1" t="s">
        <v>23</v>
      </c>
      <c r="B13" s="1"/>
      <c r="C13" s="3" t="s">
        <v>26</v>
      </c>
      <c r="D13" t="s">
        <v>48</v>
      </c>
    </row>
    <row r="14" spans="1:6" ht="15.75" x14ac:dyDescent="0.25">
      <c r="A14" s="1" t="s">
        <v>24</v>
      </c>
      <c r="B14" s="1" t="s">
        <v>25</v>
      </c>
      <c r="C14" s="3" t="s">
        <v>31</v>
      </c>
      <c r="D14" t="s">
        <v>50</v>
      </c>
      <c r="E14" t="s">
        <v>56</v>
      </c>
      <c r="F14" t="s">
        <v>57</v>
      </c>
    </row>
    <row r="15" spans="1:6" ht="15.75" x14ac:dyDescent="0.25">
      <c r="A15" s="1" t="s">
        <v>25</v>
      </c>
      <c r="B15" s="1"/>
      <c r="C15" s="4" t="s">
        <v>58</v>
      </c>
      <c r="D15" t="s">
        <v>49</v>
      </c>
    </row>
    <row r="16" spans="1:6" ht="15.75" x14ac:dyDescent="0.25">
      <c r="A16" s="1" t="s">
        <v>27</v>
      </c>
      <c r="B16" s="1" t="s">
        <v>27</v>
      </c>
      <c r="C16" s="3" t="s">
        <v>34</v>
      </c>
      <c r="D16" t="s">
        <v>50</v>
      </c>
    </row>
    <row r="17" spans="1:8" ht="15.75" x14ac:dyDescent="0.25">
      <c r="A17" s="1" t="s">
        <v>28</v>
      </c>
      <c r="B17" s="1"/>
      <c r="C17" s="3" t="s">
        <v>38</v>
      </c>
      <c r="D17" t="s">
        <v>59</v>
      </c>
      <c r="E17" t="s">
        <v>60</v>
      </c>
      <c r="F17" t="s">
        <v>49</v>
      </c>
    </row>
    <row r="18" spans="1:8" ht="15.75" x14ac:dyDescent="0.25">
      <c r="A18" s="1" t="s">
        <v>29</v>
      </c>
      <c r="B18" s="1" t="s">
        <v>29</v>
      </c>
      <c r="C18" s="3" t="s">
        <v>39</v>
      </c>
      <c r="D18" t="s">
        <v>51</v>
      </c>
    </row>
    <row r="19" spans="1:8" ht="15.75" x14ac:dyDescent="0.25">
      <c r="A19" s="1" t="s">
        <v>30</v>
      </c>
      <c r="B19" s="1"/>
      <c r="C19" s="4" t="s">
        <v>61</v>
      </c>
      <c r="D19" t="s">
        <v>49</v>
      </c>
      <c r="E19" t="s">
        <v>62</v>
      </c>
    </row>
    <row r="20" spans="1:8" ht="15.75" x14ac:dyDescent="0.25">
      <c r="A20" s="1" t="s">
        <v>32</v>
      </c>
      <c r="B20" s="1" t="s">
        <v>32</v>
      </c>
      <c r="C20" s="4" t="s">
        <v>63</v>
      </c>
      <c r="D20" t="s">
        <v>60</v>
      </c>
      <c r="E20" t="s">
        <v>59</v>
      </c>
      <c r="F20" t="s">
        <v>49</v>
      </c>
      <c r="G20" t="s">
        <v>55</v>
      </c>
      <c r="H20" t="s">
        <v>64</v>
      </c>
    </row>
    <row r="21" spans="1:8" ht="15.75" x14ac:dyDescent="0.25">
      <c r="A21" s="1" t="s">
        <v>33</v>
      </c>
      <c r="B21" s="1"/>
      <c r="C21" s="4" t="s">
        <v>65</v>
      </c>
      <c r="D21" t="s">
        <v>66</v>
      </c>
    </row>
    <row r="22" spans="1:8" ht="15.75" x14ac:dyDescent="0.25">
      <c r="A22" s="1" t="s">
        <v>35</v>
      </c>
      <c r="B22" s="1" t="s">
        <v>35</v>
      </c>
    </row>
    <row r="23" spans="1:8" ht="15.75" x14ac:dyDescent="0.25">
      <c r="A23" s="1" t="s">
        <v>36</v>
      </c>
      <c r="B23" s="1" t="s">
        <v>37</v>
      </c>
    </row>
    <row r="24" spans="1:8" ht="15.75" x14ac:dyDescent="0.25">
      <c r="A24" s="1" t="s">
        <v>37</v>
      </c>
      <c r="B24" s="1"/>
    </row>
    <row r="25" spans="1:8" ht="15.75" x14ac:dyDescent="0.25">
      <c r="A25" s="1" t="s">
        <v>40</v>
      </c>
      <c r="B25" s="1" t="s">
        <v>40</v>
      </c>
    </row>
    <row r="26" spans="1:8" ht="15.75" x14ac:dyDescent="0.25">
      <c r="A26" s="1" t="s">
        <v>41</v>
      </c>
      <c r="B26" s="1"/>
    </row>
    <row r="27" spans="1:8" ht="15.75" x14ac:dyDescent="0.25">
      <c r="A27" s="1" t="s">
        <v>42</v>
      </c>
      <c r="B27" s="1" t="s">
        <v>42</v>
      </c>
    </row>
    <row r="28" spans="1:8" ht="15.75" x14ac:dyDescent="0.25">
      <c r="A28" s="1" t="s">
        <v>43</v>
      </c>
      <c r="B28" s="1"/>
    </row>
    <row r="29" spans="1:8" ht="15.75" x14ac:dyDescent="0.25">
      <c r="A29" s="1" t="s">
        <v>44</v>
      </c>
      <c r="B29" s="1" t="s">
        <v>47</v>
      </c>
    </row>
    <row r="30" spans="1:8" ht="15.75" x14ac:dyDescent="0.25">
      <c r="A30" s="1" t="s">
        <v>45</v>
      </c>
    </row>
    <row r="33" spans="1:1" ht="15.75" x14ac:dyDescent="0.25">
      <c r="A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3935D-2474-48AB-B406-A661E7BE348B}">
  <dimension ref="A1:M81"/>
  <sheetViews>
    <sheetView tabSelected="1" topLeftCell="F2" zoomScale="85" zoomScaleNormal="85" workbookViewId="0">
      <selection activeCell="G11" sqref="G11"/>
    </sheetView>
  </sheetViews>
  <sheetFormatPr defaultRowHeight="15" x14ac:dyDescent="0.25"/>
  <cols>
    <col min="1" max="3" width="44.7109375" bestFit="1" customWidth="1"/>
    <col min="4" max="5" width="47.5703125" bestFit="1" customWidth="1"/>
    <col min="7" max="7" width="41.7109375" bestFit="1" customWidth="1"/>
    <col min="8" max="8" width="11.7109375" bestFit="1" customWidth="1"/>
    <col min="9" max="9" width="41.7109375" bestFit="1" customWidth="1"/>
    <col min="10" max="10" width="38.140625" bestFit="1" customWidth="1"/>
  </cols>
  <sheetData>
    <row r="1" spans="1:10" x14ac:dyDescent="0.25">
      <c r="A1">
        <v>2010</v>
      </c>
      <c r="B1">
        <v>2015</v>
      </c>
      <c r="C1">
        <v>2018</v>
      </c>
      <c r="D1">
        <v>2020</v>
      </c>
      <c r="E1">
        <v>2024</v>
      </c>
    </row>
    <row r="2" spans="1:10" ht="15.75" x14ac:dyDescent="0.25">
      <c r="A2" s="1" t="s">
        <v>68</v>
      </c>
      <c r="B2" s="1" t="s">
        <v>1</v>
      </c>
      <c r="C2" s="1" t="s">
        <v>1</v>
      </c>
      <c r="D2" s="1" t="s">
        <v>1</v>
      </c>
      <c r="E2" s="1" t="s">
        <v>1</v>
      </c>
      <c r="G2" t="str" cm="1">
        <f t="array" ref="G2:G81">_xlfn.UNIQUE(_xlfn.TOCOL(A2:E38, TRUE))</f>
        <v>'arizona public service',</v>
      </c>
      <c r="J2" t="s">
        <v>137</v>
      </c>
    </row>
    <row r="3" spans="1:10" ht="15.75" x14ac:dyDescent="0.25">
      <c r="A3" s="1" t="s">
        <v>69</v>
      </c>
      <c r="B3" s="1" t="s">
        <v>5</v>
      </c>
      <c r="C3" s="1" t="s">
        <v>5</v>
      </c>
      <c r="D3" s="1" t="s">
        <v>5</v>
      </c>
      <c r="E3" s="1" t="s">
        <v>5</v>
      </c>
      <c r="G3" t="str">
        <v>'Ajo Improvement Co',</v>
      </c>
      <c r="J3" s="2" t="s">
        <v>138</v>
      </c>
    </row>
    <row r="4" spans="1:10" ht="15.75" x14ac:dyDescent="0.25">
      <c r="A4" s="1" t="s">
        <v>70</v>
      </c>
      <c r="B4" s="1" t="s">
        <v>14</v>
      </c>
      <c r="C4" s="1" t="s">
        <v>14</v>
      </c>
      <c r="D4" s="1" t="s">
        <v>22</v>
      </c>
      <c r="E4" s="1" t="s">
        <v>22</v>
      </c>
      <c r="G4" t="str">
        <v>'navopache electric co-op',</v>
      </c>
      <c r="J4" t="s">
        <v>139</v>
      </c>
    </row>
    <row r="5" spans="1:10" ht="15.75" x14ac:dyDescent="0.25">
      <c r="A5" s="1" t="s">
        <v>71</v>
      </c>
      <c r="B5" s="1" t="s">
        <v>22</v>
      </c>
      <c r="C5" s="1" t="s">
        <v>22</v>
      </c>
      <c r="D5" s="1" t="s">
        <v>103</v>
      </c>
      <c r="E5" s="1" t="s">
        <v>103</v>
      </c>
      <c r="G5" t="str">
        <v>'Arizona Public Service Co',</v>
      </c>
      <c r="H5" s="8" t="str">
        <f>IF(COUNTIF($J:$J,I5)=0,"Missing","In Reference")</f>
        <v>Missing</v>
      </c>
      <c r="I5" s="8" t="s">
        <v>174</v>
      </c>
      <c r="J5" s="2" t="s">
        <v>140</v>
      </c>
    </row>
    <row r="6" spans="1:10" ht="15.75" x14ac:dyDescent="0.25">
      <c r="A6" s="1" t="s">
        <v>72</v>
      </c>
      <c r="B6" s="1" t="s">
        <v>24</v>
      </c>
      <c r="C6" s="1" t="s">
        <v>24</v>
      </c>
      <c r="D6" s="1" t="s">
        <v>104</v>
      </c>
      <c r="E6" s="1" t="s">
        <v>104</v>
      </c>
      <c r="G6" t="str">
        <v>'navajo tribal utility authority',</v>
      </c>
      <c r="H6" s="10" t="str">
        <f>IF(COUNTIF($J:$J,I6)=0,"Missing","In Reference")</f>
        <v>Missing</v>
      </c>
      <c r="I6" s="10" t="s">
        <v>175</v>
      </c>
      <c r="J6" s="2" t="s">
        <v>141</v>
      </c>
    </row>
    <row r="7" spans="1:10" ht="15.75" x14ac:dyDescent="0.25">
      <c r="A7" s="1" t="s">
        <v>73</v>
      </c>
      <c r="B7" s="1" t="s">
        <v>103</v>
      </c>
      <c r="C7" s="1" t="s">
        <v>103</v>
      </c>
      <c r="D7" s="1" t="s">
        <v>67</v>
      </c>
      <c r="E7" s="1" t="s">
        <v>67</v>
      </c>
      <c r="G7" t="str">
        <v>'Columbus Electric Coop, Inc',</v>
      </c>
      <c r="H7" s="10" t="str">
        <f>IF(COUNTIF($J:$J,I7)=0,"Missing","In Reference")</f>
        <v>Missing</v>
      </c>
      <c r="I7" s="10" t="s">
        <v>180</v>
      </c>
      <c r="J7" t="s">
        <v>142</v>
      </c>
    </row>
    <row r="8" spans="1:10" ht="15.75" x14ac:dyDescent="0.25">
      <c r="A8" s="1" t="s">
        <v>74</v>
      </c>
      <c r="B8" s="1" t="s">
        <v>104</v>
      </c>
      <c r="C8" s="1" t="s">
        <v>104</v>
      </c>
      <c r="D8" s="1" t="s">
        <v>33</v>
      </c>
      <c r="E8" s="1" t="s">
        <v>33</v>
      </c>
      <c r="G8" t="str">
        <v>'Garkane Energy Coop, Inc',</v>
      </c>
      <c r="H8" s="10" t="str">
        <f>IF(COUNTIF($J:$J,I8)=0,"Missing","In Reference")</f>
        <v>Missing</v>
      </c>
      <c r="I8" s="10" t="s">
        <v>185</v>
      </c>
      <c r="J8" s="2" t="s">
        <v>143</v>
      </c>
    </row>
    <row r="9" spans="1:10" ht="15.75" x14ac:dyDescent="0.25">
      <c r="A9" s="1" t="s">
        <v>75</v>
      </c>
      <c r="B9" s="1" t="s">
        <v>67</v>
      </c>
      <c r="C9" s="1" t="s">
        <v>67</v>
      </c>
      <c r="D9" s="1" t="s">
        <v>106</v>
      </c>
      <c r="E9" s="1" t="s">
        <v>106</v>
      </c>
      <c r="G9" t="str">
        <v>'columbus electric co-op',</v>
      </c>
      <c r="H9" s="8" t="str">
        <f>IF(COUNTIF($J:$J,I9)=0,"Missing","In Reference")</f>
        <v>Missing</v>
      </c>
      <c r="I9" s="8" t="s">
        <v>187</v>
      </c>
      <c r="J9" s="2" t="s">
        <v>144</v>
      </c>
    </row>
    <row r="10" spans="1:10" ht="15.75" x14ac:dyDescent="0.25">
      <c r="A10" s="1" t="s">
        <v>76</v>
      </c>
      <c r="B10" s="1" t="s">
        <v>33</v>
      </c>
      <c r="C10" s="1" t="s">
        <v>33</v>
      </c>
      <c r="D10" s="1" t="s">
        <v>35</v>
      </c>
      <c r="E10" s="1" t="s">
        <v>35</v>
      </c>
      <c r="G10" t="str">
        <v>'City of Mesa - (AZ)',</v>
      </c>
      <c r="H10" s="10" t="str">
        <f>IF(COUNTIF($J:$J,I10)=0,"Missing","In Reference")</f>
        <v>Missing</v>
      </c>
      <c r="I10" s="10" t="s">
        <v>189</v>
      </c>
      <c r="J10" s="2" t="s">
        <v>145</v>
      </c>
    </row>
    <row r="11" spans="1:10" ht="15.75" x14ac:dyDescent="0.25">
      <c r="A11" s="1" t="s">
        <v>77</v>
      </c>
      <c r="B11" s="1" t="s">
        <v>105</v>
      </c>
      <c r="C11" s="1" t="s">
        <v>105</v>
      </c>
      <c r="D11" s="1" t="s">
        <v>36</v>
      </c>
      <c r="E11" s="1" t="s">
        <v>36</v>
      </c>
      <c r="G11" t="str">
        <v>'sulphur springs valley electric co-op',</v>
      </c>
      <c r="H11" s="10" t="str">
        <f>IF(COUNTIF($J:$J,I11)=0,"Missing","In Reference")</f>
        <v>Missing</v>
      </c>
      <c r="I11" s="10" t="s">
        <v>190</v>
      </c>
      <c r="J11" t="s">
        <v>146</v>
      </c>
    </row>
    <row r="12" spans="1:10" ht="15.75" x14ac:dyDescent="0.25">
      <c r="A12" s="1" t="s">
        <v>78</v>
      </c>
      <c r="B12" s="1" t="s">
        <v>106</v>
      </c>
      <c r="C12" s="1" t="s">
        <v>106</v>
      </c>
      <c r="D12" s="1" t="s">
        <v>41</v>
      </c>
      <c r="E12" s="1" t="s">
        <v>41</v>
      </c>
      <c r="G12" t="str">
        <v>'Graham County Electric Coop Inc',</v>
      </c>
      <c r="H12" s="10" t="str">
        <f>IF(COUNTIF($J:$J,I12)=0,"Missing","In Reference")</f>
        <v>Missing</v>
      </c>
      <c r="I12" s="10" t="s">
        <v>191</v>
      </c>
      <c r="J12" t="s">
        <v>147</v>
      </c>
    </row>
    <row r="13" spans="1:10" ht="15.75" x14ac:dyDescent="0.25">
      <c r="A13" s="1" t="s">
        <v>79</v>
      </c>
      <c r="B13" s="1" t="s">
        <v>107</v>
      </c>
      <c r="C13" s="1" t="s">
        <v>107</v>
      </c>
      <c r="D13" s="1" t="s">
        <v>46</v>
      </c>
      <c r="E13" s="1" t="s">
        <v>46</v>
      </c>
      <c r="G13" t="str">
        <v>'Morenci Water and Electric',</v>
      </c>
      <c r="H13" s="10" t="str">
        <f>IF(COUNTIF($J:$J,I13)=0,"Missing","In Reference")</f>
        <v>Missing</v>
      </c>
      <c r="I13" s="11" t="s">
        <v>196</v>
      </c>
      <c r="J13" s="2" t="s">
        <v>148</v>
      </c>
    </row>
    <row r="14" spans="1:10" ht="15.75" x14ac:dyDescent="0.25">
      <c r="A14" s="1" t="s">
        <v>80</v>
      </c>
      <c r="B14" s="1" t="s">
        <v>35</v>
      </c>
      <c r="C14" s="1" t="s">
        <v>35</v>
      </c>
      <c r="D14" s="1" t="s">
        <v>45</v>
      </c>
      <c r="E14" s="1" t="s">
        <v>45</v>
      </c>
      <c r="G14" t="str">
        <v>'garkane power association',</v>
      </c>
      <c r="H14" s="8" t="str">
        <f>IF(COUNTIF($J:$J,I14)=0,"Missing","In Reference")</f>
        <v>Missing</v>
      </c>
      <c r="I14" s="8" t="s">
        <v>197</v>
      </c>
      <c r="J14" t="s">
        <v>149</v>
      </c>
    </row>
    <row r="15" spans="1:10" ht="15.75" x14ac:dyDescent="0.25">
      <c r="A15" s="1" t="s">
        <v>81</v>
      </c>
      <c r="B15" s="1" t="s">
        <v>36</v>
      </c>
      <c r="C15" s="1" t="s">
        <v>36</v>
      </c>
      <c r="D15" s="1" t="s">
        <v>108</v>
      </c>
      <c r="E15" s="1" t="s">
        <v>130</v>
      </c>
      <c r="G15" t="str">
        <v>'mohave electric cooperative',</v>
      </c>
      <c r="H15" s="10" t="str">
        <f>IF(COUNTIF($J:$J,I15)=0,"Missing","In Reference")</f>
        <v>Missing</v>
      </c>
      <c r="I15" s="10" t="s">
        <v>198</v>
      </c>
      <c r="J15" s="2" t="s">
        <v>150</v>
      </c>
    </row>
    <row r="16" spans="1:10" ht="15.75" x14ac:dyDescent="0.25">
      <c r="A16" s="1" t="s">
        <v>82</v>
      </c>
      <c r="B16" s="1" t="s">
        <v>41</v>
      </c>
      <c r="C16" s="1" t="s">
        <v>41</v>
      </c>
      <c r="D16" s="1" t="s">
        <v>43</v>
      </c>
      <c r="E16" s="1" t="s">
        <v>43</v>
      </c>
      <c r="G16" t="str">
        <v>'Navopache Electric Coop, Inc',</v>
      </c>
      <c r="H16" s="10" t="str">
        <f>IF(COUNTIF($J:$J,I16)=0,"Missing","In Reference")</f>
        <v>Missing</v>
      </c>
      <c r="I16" s="10" t="s">
        <v>199</v>
      </c>
      <c r="J16" s="2" t="s">
        <v>151</v>
      </c>
    </row>
    <row r="17" spans="1:10" ht="15.75" x14ac:dyDescent="0.25">
      <c r="A17" s="1" t="s">
        <v>83</v>
      </c>
      <c r="B17" s="1" t="s">
        <v>46</v>
      </c>
      <c r="C17" s="1" t="s">
        <v>46</v>
      </c>
      <c r="D17" s="1" t="s">
        <v>3</v>
      </c>
      <c r="E17" s="1" t="s">
        <v>3</v>
      </c>
      <c r="G17" t="str">
        <v>'city of fredonia ',</v>
      </c>
      <c r="H17" s="10" t="str">
        <f>IF(COUNTIF($J:$J,I17)=0,"Missing","In Reference")</f>
        <v>Missing</v>
      </c>
      <c r="I17" s="10" t="s">
        <v>200</v>
      </c>
      <c r="J17" s="2" t="s">
        <v>152</v>
      </c>
    </row>
    <row r="18" spans="1:10" ht="15.75" x14ac:dyDescent="0.25">
      <c r="A18" s="1" t="s">
        <v>84</v>
      </c>
      <c r="B18" s="1" t="s">
        <v>45</v>
      </c>
      <c r="C18" s="1" t="s">
        <v>45</v>
      </c>
      <c r="D18" s="1" t="s">
        <v>119</v>
      </c>
      <c r="E18" s="1" t="s">
        <v>119</v>
      </c>
      <c r="G18" t="str">
        <v>'Electrical Dist No2 Pinal County',</v>
      </c>
      <c r="H18" s="10" t="str">
        <f>IF(COUNTIF($J:$J,I18)=0,"Missing","In Reference")</f>
        <v>Missing</v>
      </c>
      <c r="I18" s="10" t="s">
        <v>202</v>
      </c>
      <c r="J18" s="2" t="s">
        <v>153</v>
      </c>
    </row>
    <row r="19" spans="1:10" ht="15.75" x14ac:dyDescent="0.25">
      <c r="A19" s="1" t="s">
        <v>85</v>
      </c>
      <c r="B19" s="1" t="s">
        <v>108</v>
      </c>
      <c r="C19" s="1" t="s">
        <v>108</v>
      </c>
      <c r="D19" s="1" t="s">
        <v>110</v>
      </c>
      <c r="E19" s="1" t="s">
        <v>110</v>
      </c>
      <c r="G19" t="str">
        <v>'city of williams - az',</v>
      </c>
      <c r="H19" s="10" t="str">
        <f>IF(COUNTIF($J:$J,I19)=0,"Missing","In Reference")</f>
        <v>Missing</v>
      </c>
      <c r="I19" s="10" t="s">
        <v>203</v>
      </c>
      <c r="J19" t="s">
        <v>154</v>
      </c>
    </row>
    <row r="20" spans="1:10" ht="15.75" x14ac:dyDescent="0.25">
      <c r="A20" s="1" t="s">
        <v>86</v>
      </c>
      <c r="B20" s="1" t="s">
        <v>43</v>
      </c>
      <c r="C20" s="1" t="s">
        <v>43</v>
      </c>
      <c r="D20" s="1" t="s">
        <v>15</v>
      </c>
      <c r="E20" s="1" t="s">
        <v>15</v>
      </c>
      <c r="G20" t="str">
        <v>'Salt River Project',</v>
      </c>
      <c r="H20" s="10" t="str">
        <f>IF(COUNTIF($J:$J,I20)=0,"Missing","In Reference")</f>
        <v>Missing</v>
      </c>
      <c r="I20" s="10" t="s">
        <v>204</v>
      </c>
      <c r="J20" t="s">
        <v>155</v>
      </c>
    </row>
    <row r="21" spans="1:10" ht="15.75" x14ac:dyDescent="0.25">
      <c r="A21" s="1" t="s">
        <v>87</v>
      </c>
      <c r="B21" s="1" t="s">
        <v>109</v>
      </c>
      <c r="C21" s="1" t="s">
        <v>109</v>
      </c>
      <c r="D21" s="1" t="s">
        <v>111</v>
      </c>
      <c r="E21" s="1" t="s">
        <v>131</v>
      </c>
      <c r="G21" t="str">
        <v>'page electric utility',</v>
      </c>
      <c r="H21" s="10" t="str">
        <f>IF(COUNTIF($J:$J,I21)=0,"Missing","In Reference")</f>
        <v>Missing</v>
      </c>
      <c r="I21" s="10" t="s">
        <v>205</v>
      </c>
      <c r="J21" s="2" t="s">
        <v>156</v>
      </c>
    </row>
    <row r="22" spans="1:10" ht="15.75" x14ac:dyDescent="0.25">
      <c r="A22" s="1" t="s">
        <v>88</v>
      </c>
      <c r="B22" s="1" t="s">
        <v>3</v>
      </c>
      <c r="C22" s="1" t="s">
        <v>3</v>
      </c>
      <c r="D22" s="1" t="s">
        <v>113</v>
      </c>
      <c r="E22" s="1" t="s">
        <v>113</v>
      </c>
      <c r="G22" t="str">
        <v>'Page Utility Enterprises',</v>
      </c>
      <c r="H22" s="10" t="str">
        <f>IF(COUNTIF($J:$J,I22)=0,"Missing","In Reference")</f>
        <v>Missing</v>
      </c>
      <c r="I22" s="10" t="s">
        <v>206</v>
      </c>
      <c r="J22" t="s">
        <v>157</v>
      </c>
    </row>
    <row r="23" spans="1:10" ht="15.75" x14ac:dyDescent="0.25">
      <c r="A23" s="1" t="s">
        <v>89</v>
      </c>
      <c r="B23" s="1" t="s">
        <v>110</v>
      </c>
      <c r="C23" s="1" t="s">
        <v>119</v>
      </c>
      <c r="D23" s="1" t="s">
        <v>120</v>
      </c>
      <c r="E23" s="1" t="s">
        <v>120</v>
      </c>
      <c r="G23" t="str">
        <v>'Sulphur Springs Valley E C Inc',</v>
      </c>
      <c r="H23" s="10" t="str">
        <f>IF(COUNTIF($J:$J,I23)=0,"Missing","In Reference")</f>
        <v>Missing</v>
      </c>
      <c r="I23" s="10" t="s">
        <v>207</v>
      </c>
      <c r="J23" t="s">
        <v>158</v>
      </c>
    </row>
    <row r="24" spans="1:10" ht="15.75" x14ac:dyDescent="0.25">
      <c r="A24" s="1" t="s">
        <v>90</v>
      </c>
      <c r="B24" s="1" t="s">
        <v>15</v>
      </c>
      <c r="C24" s="1" t="s">
        <v>110</v>
      </c>
      <c r="D24" s="1" t="s">
        <v>117</v>
      </c>
      <c r="E24" s="1" t="s">
        <v>117</v>
      </c>
      <c r="G24" t="str">
        <v>'Trico Electric Cooperative Inc',</v>
      </c>
      <c r="H24" s="10" t="str">
        <f>IF(COUNTIF($J:$J,I24)=0,"Missing","In Reference")</f>
        <v>Missing</v>
      </c>
      <c r="I24" s="10" t="s">
        <v>208</v>
      </c>
      <c r="J24" s="2" t="s">
        <v>159</v>
      </c>
    </row>
    <row r="25" spans="1:10" ht="15.75" x14ac:dyDescent="0.25">
      <c r="A25" s="1" t="s">
        <v>91</v>
      </c>
      <c r="B25" s="1" t="s">
        <v>111</v>
      </c>
      <c r="C25" s="1" t="s">
        <v>15</v>
      </c>
      <c r="D25" s="1" t="s">
        <v>121</v>
      </c>
      <c r="E25" s="1" t="s">
        <v>132</v>
      </c>
      <c r="G25" t="str">
        <v>'usbia-san carlos project',</v>
      </c>
      <c r="H25" s="8" t="str">
        <f>IF(COUNTIF($J:$J,I25)=0,"Missing","In Reference")</f>
        <v>Missing</v>
      </c>
      <c r="I25" s="9" t="s">
        <v>209</v>
      </c>
      <c r="J25" t="s">
        <v>160</v>
      </c>
    </row>
    <row r="26" spans="1:10" ht="15.75" x14ac:dyDescent="0.25">
      <c r="A26" s="1" t="s">
        <v>92</v>
      </c>
      <c r="B26" s="1" t="s">
        <v>112</v>
      </c>
      <c r="C26" s="1" t="s">
        <v>111</v>
      </c>
      <c r="D26" s="1" t="s">
        <v>122</v>
      </c>
      <c r="E26" s="1" t="s">
        <v>122</v>
      </c>
      <c r="G26" t="str">
        <v>'Electrical Dist No4 Pinal County',</v>
      </c>
      <c r="H26" s="10" t="str">
        <f>IF(COUNTIF($J:$J,I26)=0,"Missing","In Reference")</f>
        <v>Missing</v>
      </c>
      <c r="I26" s="10" t="s">
        <v>213</v>
      </c>
      <c r="J26" s="6" t="s">
        <v>161</v>
      </c>
    </row>
    <row r="27" spans="1:10" ht="15.75" x14ac:dyDescent="0.25">
      <c r="A27" s="1" t="s">
        <v>93</v>
      </c>
      <c r="B27" s="1" t="s">
        <v>113</v>
      </c>
      <c r="C27" s="1" t="s">
        <v>112</v>
      </c>
      <c r="D27" s="1" t="s">
        <v>124</v>
      </c>
      <c r="E27" s="1" t="s">
        <v>124</v>
      </c>
      <c r="G27" t="str">
        <v>'graham county electric cooperative',</v>
      </c>
      <c r="H27" s="10" t="str">
        <f>IF(COUNTIF($J:$J,I27)=0,"Missing","In Reference")</f>
        <v>Missing</v>
      </c>
      <c r="I27" s="10" t="s">
        <v>214</v>
      </c>
      <c r="J27" s="2" t="s">
        <v>162</v>
      </c>
    </row>
    <row r="28" spans="1:10" ht="15.75" x14ac:dyDescent="0.25">
      <c r="A28" s="1" t="s">
        <v>94</v>
      </c>
      <c r="B28" s="1" t="s">
        <v>114</v>
      </c>
      <c r="C28" s="1" t="s">
        <v>113</v>
      </c>
      <c r="D28" s="1" t="s">
        <v>125</v>
      </c>
      <c r="E28" s="1" t="s">
        <v>125</v>
      </c>
      <c r="G28" t="str">
        <v>'UNS Electric, Inc',</v>
      </c>
      <c r="H28" s="7" t="str">
        <f>IF(COUNTIF($J:$J,I28)=0,"Missing","In Reference")</f>
        <v>Missing</v>
      </c>
      <c r="I28" s="7" t="s">
        <v>176</v>
      </c>
      <c r="J28" t="s">
        <v>163</v>
      </c>
    </row>
    <row r="29" spans="1:10" ht="15.75" x14ac:dyDescent="0.25">
      <c r="A29" s="1" t="s">
        <v>95</v>
      </c>
      <c r="B29" s="1" t="s">
        <v>115</v>
      </c>
      <c r="C29" s="1" t="s">
        <v>120</v>
      </c>
      <c r="D29" s="1" t="s">
        <v>126</v>
      </c>
      <c r="E29" s="1" t="s">
        <v>126</v>
      </c>
      <c r="G29" t="str">
        <v>'city of safford',</v>
      </c>
      <c r="H29" s="7" t="str">
        <f>IF(COUNTIF($J:$J,I29)=0,"Missing","In Reference")</f>
        <v>Missing</v>
      </c>
      <c r="I29" s="7" t="s">
        <v>177</v>
      </c>
      <c r="J29" t="s">
        <v>164</v>
      </c>
    </row>
    <row r="30" spans="1:10" ht="15.75" x14ac:dyDescent="0.25">
      <c r="A30" s="1" t="s">
        <v>96</v>
      </c>
      <c r="B30" s="1" t="s">
        <v>116</v>
      </c>
      <c r="C30" s="1" t="s">
        <v>117</v>
      </c>
      <c r="D30" s="1" t="s">
        <v>129</v>
      </c>
      <c r="E30" s="1" t="s">
        <v>133</v>
      </c>
      <c r="G30" t="str">
        <v>'Mohave Electric Cooperative, I',</v>
      </c>
      <c r="H30" s="7" t="str">
        <f>IF(COUNTIF($J:$J,I30)=0,"Missing","In Reference")</f>
        <v>Missing</v>
      </c>
      <c r="I30" s="7" t="s">
        <v>178</v>
      </c>
      <c r="J30" s="2" t="s">
        <v>165</v>
      </c>
    </row>
    <row r="31" spans="1:10" ht="15.75" x14ac:dyDescent="0.25">
      <c r="A31" s="1" t="s">
        <v>97</v>
      </c>
      <c r="B31" s="1" t="s">
        <v>117</v>
      </c>
      <c r="C31" s="1" t="s">
        <v>121</v>
      </c>
      <c r="E31" s="1" t="s">
        <v>134</v>
      </c>
      <c r="G31" t="str">
        <v>'Mohave Electric Cooperative, Inc.',</v>
      </c>
      <c r="H31" s="7" t="str">
        <f>IF(COUNTIF($J:$J,I31)=0,"Missing","In Reference")</f>
        <v>Missing</v>
      </c>
      <c r="I31" s="7" t="s">
        <v>179</v>
      </c>
      <c r="J31" s="2" t="s">
        <v>166</v>
      </c>
    </row>
    <row r="32" spans="1:10" ht="15.75" x14ac:dyDescent="0.25">
      <c r="A32" s="1" t="s">
        <v>98</v>
      </c>
      <c r="B32" s="1" t="s">
        <v>118</v>
      </c>
      <c r="C32" s="1" t="s">
        <v>122</v>
      </c>
      <c r="E32" s="1" t="s">
        <v>135</v>
      </c>
      <c r="G32" t="str">
        <v>'duncan valley elec coop inc',</v>
      </c>
      <c r="H32" s="7" t="str">
        <f>IF(COUNTIF($J:$J,I32)=0,"Missing","In Reference")</f>
        <v>Missing</v>
      </c>
      <c r="I32" s="7" t="s">
        <v>181</v>
      </c>
      <c r="J32" s="6" t="s">
        <v>167</v>
      </c>
    </row>
    <row r="33" spans="1:10" ht="15.75" x14ac:dyDescent="0.25">
      <c r="A33" s="1" t="s">
        <v>99</v>
      </c>
      <c r="B33" s="1"/>
      <c r="C33" s="1" t="s">
        <v>123</v>
      </c>
      <c r="E33" s="1" t="s">
        <v>136</v>
      </c>
      <c r="G33" t="str">
        <v>'Tucson Electric Power Co',</v>
      </c>
      <c r="H33" s="7" t="str">
        <f>IF(COUNTIF($J:$J,I33)=0,"Missing","In Reference")</f>
        <v>Missing</v>
      </c>
      <c r="I33" s="7" t="s">
        <v>182</v>
      </c>
      <c r="J33" t="s">
        <v>168</v>
      </c>
    </row>
    <row r="34" spans="1:10" ht="15.75" x14ac:dyDescent="0.25">
      <c r="A34" s="1" t="s">
        <v>100</v>
      </c>
      <c r="B34" s="1"/>
      <c r="C34" s="1" t="s">
        <v>124</v>
      </c>
      <c r="G34" t="str">
        <v>'town of thatcher',</v>
      </c>
      <c r="H34" s="7" t="str">
        <f>IF(COUNTIF($J:$J,I34)=0,"Missing","In Reference")</f>
        <v>Missing</v>
      </c>
      <c r="I34" s="7" t="s">
        <v>183</v>
      </c>
      <c r="J34" t="s">
        <v>169</v>
      </c>
    </row>
    <row r="35" spans="1:10" ht="15.75" x14ac:dyDescent="0.25">
      <c r="A35" s="1" t="s">
        <v>101</v>
      </c>
      <c r="B35" s="1"/>
      <c r="C35" s="1" t="s">
        <v>125</v>
      </c>
      <c r="G35" t="str">
        <v>'Ak-Chin Electric Utility Authority',</v>
      </c>
      <c r="H35" s="7" t="str">
        <f>IF(COUNTIF($J:$J,I35)=0,"Missing","In Reference")</f>
        <v>Missing</v>
      </c>
      <c r="I35" s="7" t="s">
        <v>184</v>
      </c>
      <c r="J35" t="s">
        <v>170</v>
      </c>
    </row>
    <row r="36" spans="1:10" ht="15.75" x14ac:dyDescent="0.25">
      <c r="A36" s="1" t="s">
        <v>102</v>
      </c>
      <c r="B36" s="1"/>
      <c r="C36" s="1" t="s">
        <v>126</v>
      </c>
      <c r="G36" t="str">
        <v>'morenci water &amp; electric company',</v>
      </c>
      <c r="H36" s="7" t="str">
        <f>IF(COUNTIF($J:$J,I36)=0,"Missing","In Reference")</f>
        <v>Missing</v>
      </c>
      <c r="I36" s="7" t="s">
        <v>186</v>
      </c>
      <c r="J36" s="6" t="s">
        <v>171</v>
      </c>
    </row>
    <row r="37" spans="1:10" ht="15.75" x14ac:dyDescent="0.25">
      <c r="A37" s="1"/>
      <c r="C37" s="1" t="s">
        <v>127</v>
      </c>
      <c r="G37" t="str">
        <v>'WAPA-- Western Area Power Administration',</v>
      </c>
      <c r="H37" s="7" t="str">
        <f>IF(COUNTIF($J:$J,I37)=0,"Missing","In Reference")</f>
        <v>Missing</v>
      </c>
      <c r="I37" s="7" t="s">
        <v>188</v>
      </c>
      <c r="J37" s="6" t="s">
        <v>172</v>
      </c>
    </row>
    <row r="38" spans="1:10" ht="15.75" x14ac:dyDescent="0.25">
      <c r="C38" s="1" t="s">
        <v>128</v>
      </c>
      <c r="G38" t="str">
        <v>'colorado river indian irr proj',</v>
      </c>
      <c r="H38" s="7" t="str">
        <f>IF(COUNTIF($J:$J,I38)=0,"Missing","In Reference")</f>
        <v>Missing</v>
      </c>
      <c r="I38" s="7" t="s">
        <v>192</v>
      </c>
      <c r="J38" t="s">
        <v>173</v>
      </c>
    </row>
    <row r="39" spans="1:10" x14ac:dyDescent="0.25">
      <c r="G39" t="str">
        <v>'Electrical Dist No3 Pinal County',</v>
      </c>
      <c r="H39" s="7" t="str">
        <f>IF(COUNTIF($J:$J,I39)=0,"Missing","In Reference")</f>
        <v>Missing</v>
      </c>
      <c r="I39" s="7" t="s">
        <v>193</v>
      </c>
      <c r="J39" t="s">
        <v>173</v>
      </c>
    </row>
    <row r="40" spans="1:10" x14ac:dyDescent="0.25">
      <c r="G40" t="str">
        <v>'city of mesa ',</v>
      </c>
      <c r="H40" s="7" t="str">
        <f>IF(COUNTIF($J:$J,I40)=0,"Missing","In Reference")</f>
        <v>Missing</v>
      </c>
      <c r="I40" s="7" t="s">
        <v>194</v>
      </c>
      <c r="J40" t="s">
        <v>173</v>
      </c>
    </row>
    <row r="41" spans="1:10" x14ac:dyDescent="0.25">
      <c r="G41" t="str">
        <v>'Dixie Escalante R E A, Inc',</v>
      </c>
      <c r="H41" s="7" t="str">
        <f>IF(COUNTIF($J:$J,I41)=0,"Missing","In Reference")</f>
        <v>Missing</v>
      </c>
      <c r="I41" s="7" t="s">
        <v>195</v>
      </c>
      <c r="J41" t="s">
        <v>173</v>
      </c>
    </row>
    <row r="42" spans="1:10" x14ac:dyDescent="0.25">
      <c r="G42" t="str">
        <v>'buckeye water c&amp;d district',</v>
      </c>
      <c r="H42" s="7" t="str">
        <f>IF(COUNTIF($J:$J,I42)=0,"Missing","In Reference")</f>
        <v>Missing</v>
      </c>
      <c r="I42" s="7" t="s">
        <v>201</v>
      </c>
      <c r="J42" t="s">
        <v>173</v>
      </c>
    </row>
    <row r="43" spans="1:10" x14ac:dyDescent="0.25">
      <c r="G43" t="str">
        <v>'Wellton-Mohawk Irr &amp; Drain Dist',</v>
      </c>
      <c r="H43" s="7" t="str">
        <f>IF(COUNTIF($J:$J,I43)=0,"Missing","In Reference")</f>
        <v>Missing</v>
      </c>
      <c r="I43" s="7" t="s">
        <v>210</v>
      </c>
      <c r="J43" t="s">
        <v>173</v>
      </c>
    </row>
    <row r="44" spans="1:10" x14ac:dyDescent="0.25">
      <c r="G44" t="str">
        <v>'SolarCity Corporation',</v>
      </c>
      <c r="H44" s="7" t="str">
        <f>IF(COUNTIF($J:$J,I44)=0,"Missing","In Reference")</f>
        <v>Missing</v>
      </c>
      <c r="I44" s="7" t="s">
        <v>211</v>
      </c>
      <c r="J44" t="s">
        <v>173</v>
      </c>
    </row>
    <row r="45" spans="1:10" x14ac:dyDescent="0.25">
      <c r="G45" t="str">
        <v>'Tesla Inc.',</v>
      </c>
      <c r="H45" s="7" t="str">
        <f>IF(COUNTIF($J:$J,I45)=0,"Missing","In Reference")</f>
        <v>Missing</v>
      </c>
      <c r="I45" s="7" t="s">
        <v>212</v>
      </c>
      <c r="J45" t="s">
        <v>173</v>
      </c>
    </row>
    <row r="46" spans="1:10" x14ac:dyDescent="0.25">
      <c r="G46" t="str">
        <v>'ocotillo water conserv. dist.',</v>
      </c>
      <c r="H46" t="str">
        <f>IF(COUNTIF($J:$J,I46)=0,"Missing","In Reference")</f>
        <v>In Reference</v>
      </c>
      <c r="I46" t="s">
        <v>137</v>
      </c>
      <c r="J46" t="s">
        <v>173</v>
      </c>
    </row>
    <row r="47" spans="1:10" x14ac:dyDescent="0.25">
      <c r="G47" t="str">
        <v>'Constellation Solar Holding, LLC',</v>
      </c>
      <c r="H47" t="str">
        <f>IF(COUNTIF($J:$J,I47)=0,"Missing","In Reference")</f>
        <v>In Reference</v>
      </c>
      <c r="I47" t="s">
        <v>138</v>
      </c>
      <c r="J47" t="s">
        <v>173</v>
      </c>
    </row>
    <row r="48" spans="1:10" x14ac:dyDescent="0.25">
      <c r="G48" t="str">
        <v>"tohono o'odham utility auth",</v>
      </c>
      <c r="H48" t="str">
        <f>IF(COUNTIF($J:$J,I48)=0,"Missing","In Reference")</f>
        <v>In Reference</v>
      </c>
      <c r="I48" t="s">
        <v>139</v>
      </c>
      <c r="J48" t="s">
        <v>173</v>
      </c>
    </row>
    <row r="49" spans="7:13" x14ac:dyDescent="0.25">
      <c r="G49" t="str">
        <v>'Sunnova',</v>
      </c>
      <c r="H49" t="str">
        <f>IF(COUNTIF($J:$J,I49)=0,"Missing","In Reference")</f>
        <v>In Reference</v>
      </c>
      <c r="I49" t="s">
        <v>140</v>
      </c>
      <c r="J49" t="s">
        <v>173</v>
      </c>
    </row>
    <row r="50" spans="7:13" x14ac:dyDescent="0.25">
      <c r="G50" t="str">
        <v>'town of wickenburg',</v>
      </c>
      <c r="H50" t="str">
        <f>IF(COUNTIF($J:$J,I50)=0,"Missing","In Reference")</f>
        <v>In Reference</v>
      </c>
      <c r="I50" t="s">
        <v>141</v>
      </c>
      <c r="J50" t="s">
        <v>173</v>
      </c>
    </row>
    <row r="51" spans="7:13" x14ac:dyDescent="0.25">
      <c r="G51" t="str">
        <v>'SunPower Capital, LLC',</v>
      </c>
      <c r="H51" t="str">
        <f>IF(COUNTIF($J:$J,I51)=0,"Missing","In Reference")</f>
        <v>In Reference</v>
      </c>
      <c r="I51" t="s">
        <v>142</v>
      </c>
      <c r="J51" t="s">
        <v>173</v>
      </c>
      <c r="M51" s="5"/>
    </row>
    <row r="52" spans="7:13" x14ac:dyDescent="0.25">
      <c r="G52" t="str">
        <v>'dixie escalante rural electric association',</v>
      </c>
      <c r="H52" t="str">
        <f>IF(COUNTIF($J:$J,I52)=0,"Missing","In Reference")</f>
        <v>In Reference</v>
      </c>
      <c r="I52" t="s">
        <v>143</v>
      </c>
      <c r="J52" t="s">
        <v>173</v>
      </c>
    </row>
    <row r="53" spans="7:13" x14ac:dyDescent="0.25">
      <c r="G53" t="str">
        <v>'Vivint Solar, Inc.',</v>
      </c>
      <c r="H53" t="str">
        <f>IF(COUNTIF($J:$J,I53)=0,"Missing","In Reference")</f>
        <v>In Reference</v>
      </c>
      <c r="I53" t="s">
        <v>144</v>
      </c>
      <c r="J53" t="s">
        <v>173</v>
      </c>
    </row>
    <row r="54" spans="7:13" x14ac:dyDescent="0.25">
      <c r="G54" t="str">
        <v>'Ahana Renewables, LLC',</v>
      </c>
      <c r="H54" t="str">
        <f>IF(COUNTIF($J:$J,I54)=0,"Missing","In Reference")</f>
        <v>In Reference</v>
      </c>
      <c r="I54" t="s">
        <v>145</v>
      </c>
      <c r="J54" t="s">
        <v>173</v>
      </c>
    </row>
    <row r="55" spans="7:13" x14ac:dyDescent="0.25">
      <c r="G55" t="str">
        <v>'uns electric inc.',</v>
      </c>
      <c r="H55" t="str">
        <f>IF(COUNTIF($J:$J,I55)=0,"Missing","In Reference")</f>
        <v>In Reference</v>
      </c>
      <c r="I55" t="s">
        <v>146</v>
      </c>
      <c r="J55" t="s">
        <v>173</v>
      </c>
    </row>
    <row r="56" spans="7:13" x14ac:dyDescent="0.25">
      <c r="G56" t="str">
        <v>'Aha Macav Power Service',</v>
      </c>
      <c r="H56" t="str">
        <f>IF(COUNTIF($J:$J,I56)=0,"Missing","In Reference")</f>
        <v>In Reference</v>
      </c>
      <c r="I56" t="s">
        <v>147</v>
      </c>
      <c r="J56" t="s">
        <v>173</v>
      </c>
    </row>
    <row r="57" spans="7:13" x14ac:dyDescent="0.25">
      <c r="G57" t="str">
        <v>'Sunrun Inc.',</v>
      </c>
      <c r="H57" t="str">
        <f>IF(COUNTIF($J:$J,I57)=0,"Missing","In Reference")</f>
        <v>In Reference</v>
      </c>
      <c r="I57" t="s">
        <v>148</v>
      </c>
      <c r="J57" t="s">
        <v>173</v>
      </c>
    </row>
    <row r="58" spans="7:13" x14ac:dyDescent="0.25">
      <c r="G58" t="str">
        <v>'ajo improvement company',</v>
      </c>
      <c r="H58" t="str">
        <f>IF(COUNTIF($J:$J,I58)=0,"Missing","In Reference")</f>
        <v>In Reference</v>
      </c>
      <c r="I58" t="s">
        <v>150</v>
      </c>
      <c r="J58" t="s">
        <v>173</v>
      </c>
    </row>
    <row r="59" spans="7:13" x14ac:dyDescent="0.25">
      <c r="G59" t="str">
        <v>'Spruce Finance',</v>
      </c>
      <c r="H59" t="str">
        <f>IF(COUNTIF($J:$J,I59)=0,"Missing","In Reference")</f>
        <v>In Reference</v>
      </c>
      <c r="I59" t="s">
        <v>151</v>
      </c>
      <c r="J59" t="s">
        <v>173</v>
      </c>
    </row>
    <row r="60" spans="7:13" x14ac:dyDescent="0.25">
      <c r="G60" t="str">
        <v>'trico electric cooperative',</v>
      </c>
      <c r="H60" t="str">
        <f>IF(COUNTIF($J:$J,I60)=0,"Missing","In Reference")</f>
        <v>In Reference</v>
      </c>
      <c r="I60" t="s">
        <v>152</v>
      </c>
      <c r="J60" t="s">
        <v>173</v>
      </c>
    </row>
    <row r="61" spans="7:13" x14ac:dyDescent="0.25">
      <c r="G61" t="str">
        <v>'SunEdison LLC',</v>
      </c>
      <c r="H61" t="str">
        <f>IF(COUNTIF($J:$J,I61)=0,"Missing","In Reference")</f>
        <v>In Reference</v>
      </c>
      <c r="I61" t="s">
        <v>153</v>
      </c>
      <c r="J61" t="s">
        <v>173</v>
      </c>
    </row>
    <row r="62" spans="7:13" x14ac:dyDescent="0.25">
      <c r="G62" t="str">
        <v>'Greenbacker Renewable Energy Corporation',</v>
      </c>
      <c r="H62" t="str">
        <f>IF(COUNTIF($J:$J,I62)=0,"Missing","In Reference")</f>
        <v>In Reference</v>
      </c>
      <c r="I62" t="s">
        <v>154</v>
      </c>
      <c r="J62" t="s">
        <v>173</v>
      </c>
    </row>
    <row r="63" spans="7:13" x14ac:dyDescent="0.25">
      <c r="G63" t="str">
        <v>'tucson electric power',</v>
      </c>
      <c r="H63" t="str">
        <f>IF(COUNTIF($J:$J,I63)=0,"Missing","In Reference")</f>
        <v>In Reference</v>
      </c>
      <c r="I63" t="s">
        <v>155</v>
      </c>
      <c r="J63" t="s">
        <v>173</v>
      </c>
    </row>
    <row r="64" spans="7:13" x14ac:dyDescent="0.25">
      <c r="G64" t="str">
        <v>'Kilowatt Financial, LLC',</v>
      </c>
      <c r="H64" t="str">
        <f>IF(COUNTIF($J:$J,I64)=0,"Missing","In Reference")</f>
        <v>In Reference</v>
      </c>
      <c r="I64" t="s">
        <v>156</v>
      </c>
      <c r="J64" t="s">
        <v>173</v>
      </c>
    </row>
    <row r="65" spans="7:13" x14ac:dyDescent="0.25">
      <c r="G65" t="str">
        <v>'TerraForm US Energy Services, LLC',</v>
      </c>
      <c r="H65" t="str">
        <f>IF(COUNTIF($J:$J,I65)=0,"Missing","In Reference")</f>
        <v>In Reference</v>
      </c>
      <c r="I65" t="s">
        <v>157</v>
      </c>
      <c r="J65" t="s">
        <v>173</v>
      </c>
    </row>
    <row r="66" spans="7:13" x14ac:dyDescent="0.25">
      <c r="G66" t="str">
        <v>'OneRoof Energy, Inc.', 'Sunnova',</v>
      </c>
      <c r="H66" t="str">
        <f>IF(COUNTIF($J:$J,I66)=0,"Missing","In Reference")</f>
        <v>In Reference</v>
      </c>
      <c r="I66" t="s">
        <v>158</v>
      </c>
      <c r="J66" t="s">
        <v>173</v>
      </c>
    </row>
    <row r="67" spans="7:13" x14ac:dyDescent="0.25">
      <c r="G67" t="str">
        <v>'Adjustment 2020'</v>
      </c>
      <c r="H67" t="str">
        <f>IF(COUNTIF($J:$J,I67)=0,"Missing","In Reference")</f>
        <v>In Reference</v>
      </c>
      <c r="I67" t="s">
        <v>159</v>
      </c>
      <c r="J67" t="s">
        <v>173</v>
      </c>
      <c r="M67" s="5"/>
    </row>
    <row r="68" spans="7:13" x14ac:dyDescent="0.25">
      <c r="G68" t="str">
        <v>'Gila River Indian Utility Authority (GRICUA)',</v>
      </c>
      <c r="H68" t="str">
        <f>IF(COUNTIF($J:$J,I68)=0,"Missing","In Reference")</f>
        <v>In Reference</v>
      </c>
      <c r="I68" t="s">
        <v>160</v>
      </c>
      <c r="J68" t="s">
        <v>173</v>
      </c>
    </row>
    <row r="69" spans="7:13" x14ac:dyDescent="0.25">
      <c r="G69" t="str">
        <v>'electrical dist no2 pinal cnty',</v>
      </c>
      <c r="H69" t="str">
        <f>IF(COUNTIF($J:$J,I69)=0,"Missing","In Reference")</f>
        <v>In Reference</v>
      </c>
      <c r="I69" t="s">
        <v>161</v>
      </c>
      <c r="J69" t="s">
        <v>173</v>
      </c>
    </row>
    <row r="70" spans="7:13" x14ac:dyDescent="0.25">
      <c r="G70" t="str">
        <v>'Palmetto Solar, LLC',</v>
      </c>
      <c r="H70" t="str">
        <f>IF(COUNTIF($J:$J,I70)=0,"Missing","In Reference")</f>
        <v>In Reference</v>
      </c>
      <c r="I70" t="s">
        <v>162</v>
      </c>
      <c r="J70" t="s">
        <v>173</v>
      </c>
    </row>
    <row r="71" spans="7:13" x14ac:dyDescent="0.25">
      <c r="G71" t="str">
        <v>'electrical dist no3 pinal cnty',</v>
      </c>
      <c r="H71" t="str">
        <f>IF(COUNTIF($J:$J,I71)=0,"Missing","In Reference")</f>
        <v>In Reference</v>
      </c>
      <c r="I71" t="s">
        <v>163</v>
      </c>
      <c r="J71" t="s">
        <v>173</v>
      </c>
    </row>
    <row r="72" spans="7:13" x14ac:dyDescent="0.25">
      <c r="G72" t="str">
        <v>'Vivint Solar, Inc.', 'Sunrun Inc.'</v>
      </c>
      <c r="H72" t="str">
        <f>IF(COUNTIF($J:$J,I72)=0,"Missing","In Reference")</f>
        <v>In Reference</v>
      </c>
      <c r="I72" t="s">
        <v>164</v>
      </c>
      <c r="J72" t="s">
        <v>173</v>
      </c>
    </row>
    <row r="73" spans="7:13" x14ac:dyDescent="0.25">
      <c r="G73" t="str">
        <v>'EverBright, LLC',</v>
      </c>
      <c r="H73" t="str">
        <f>IF(COUNTIF($J:$J,I73)=0,"Missing","In Reference")</f>
        <v>In Reference</v>
      </c>
      <c r="I73" t="s">
        <v>166</v>
      </c>
      <c r="J73" t="s">
        <v>173</v>
      </c>
    </row>
    <row r="74" spans="7:13" x14ac:dyDescent="0.25">
      <c r="G74" t="str">
        <v>'electrical dist no4 pinal cnty',</v>
      </c>
      <c r="H74" t="str">
        <f>IF(COUNTIF($J:$J,I74)=0,"Missing","In Reference")</f>
        <v>In Reference</v>
      </c>
      <c r="I74" t="s">
        <v>167</v>
      </c>
      <c r="J74" t="s">
        <v>173</v>
      </c>
    </row>
    <row r="75" spans="7:13" x14ac:dyDescent="0.25">
      <c r="G75" t="str">
        <v>'SunPower Capital Services, LLC',</v>
      </c>
      <c r="H75" t="str">
        <f>IF(COUNTIF($J:$J,I75)=0,"Missing","In Reference")</f>
        <v>In Reference</v>
      </c>
      <c r="I75" t="s">
        <v>168</v>
      </c>
      <c r="J75" t="s">
        <v>173</v>
      </c>
    </row>
    <row r="76" spans="7:13" x14ac:dyDescent="0.25">
      <c r="G76" t="str">
        <v>'Adjustment 2024'</v>
      </c>
      <c r="H76" t="str">
        <f>IF(COUNTIF($J:$J,I76)=0,"Missing","In Reference")</f>
        <v>In Reference</v>
      </c>
      <c r="I76" t="s">
        <v>169</v>
      </c>
      <c r="J76" t="s">
        <v>173</v>
      </c>
    </row>
    <row r="77" spans="7:13" x14ac:dyDescent="0.25">
      <c r="G77" t="str">
        <v>'electrical dist no5 pinal cnty',</v>
      </c>
      <c r="H77" t="str">
        <f>IF(COUNTIF($J:$J,I77)=0,"Missing","In Reference")</f>
        <v>In Reference</v>
      </c>
      <c r="I77" t="s">
        <v>170</v>
      </c>
      <c r="J77" t="s">
        <v>173</v>
      </c>
    </row>
    <row r="78" spans="7:13" x14ac:dyDescent="0.25">
      <c r="G78" t="str">
        <v>'hohokam irr &amp; drain dist',</v>
      </c>
      <c r="H78" t="str">
        <f>IF(COUNTIF($J:$J,I78)=0,"Missing","In Reference")</f>
        <v>In Reference</v>
      </c>
      <c r="I78" t="s">
        <v>171</v>
      </c>
      <c r="J78" t="s">
        <v>173</v>
      </c>
    </row>
    <row r="79" spans="7:13" x14ac:dyDescent="0.25">
      <c r="G79" t="str">
        <v>'wellton-mohawk irr &amp; drain dist'</v>
      </c>
      <c r="H79" t="str">
        <f>IF(COUNTIF($J:$J,I79)=0,"Missing","In Reference")</f>
        <v>In Reference</v>
      </c>
      <c r="I79" t="s">
        <v>172</v>
      </c>
      <c r="J79" t="s">
        <v>173</v>
      </c>
    </row>
    <row r="80" spans="7:13" x14ac:dyDescent="0.25">
      <c r="G80" t="str">
        <v>'Greenskies Renewable Energy, LLC',</v>
      </c>
      <c r="H80" t="str">
        <f>IF(COUNTIF($J:$J,I80)=0,"Missing","In Reference")</f>
        <v>In Reference</v>
      </c>
      <c r="I80" t="s">
        <v>172</v>
      </c>
      <c r="J80" t="s">
        <v>173</v>
      </c>
    </row>
    <row r="81" spans="7:7" x14ac:dyDescent="0.25">
      <c r="G81" t="str">
        <v>'Adjustment 2018'</v>
      </c>
    </row>
  </sheetData>
  <sortState xmlns:xlrd2="http://schemas.microsoft.com/office/spreadsheetml/2017/richdata2" ref="H5:I80">
    <sortCondition sortBy="fontColor" ref="I5:I80" dxfId="3"/>
    <sortCondition sortBy="cellColor" ref="I5:I80" dxfId="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rankin</dc:creator>
  <cp:lastModifiedBy>nancy rankin</cp:lastModifiedBy>
  <dcterms:created xsi:type="dcterms:W3CDTF">2026-04-13T16:00:32Z</dcterms:created>
  <dcterms:modified xsi:type="dcterms:W3CDTF">2026-04-19T18:33:11Z</dcterms:modified>
</cp:coreProperties>
</file>